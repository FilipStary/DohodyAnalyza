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\Documents\DohodyAnalyza\"/>
    </mc:Choice>
  </mc:AlternateContent>
  <xr:revisionPtr revIDLastSave="0" documentId="8_{9E1F6F07-8651-4360-81F6-539076230B68}" xr6:coauthVersionLast="45" xr6:coauthVersionMax="45" xr10:uidLastSave="{00000000-0000-0000-0000-000000000000}"/>
  <bookViews>
    <workbookView xWindow="-120" yWindow="-120" windowWidth="38640" windowHeight="15840" xr2:uid="{B9FA32F9-BF31-4971-AAE3-7B2061E84D3A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36" i="1" l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O2" i="1"/>
</calcChain>
</file>

<file path=xl/sharedStrings.xml><?xml version="1.0" encoding="utf-8"?>
<sst xmlns="http://schemas.openxmlformats.org/spreadsheetml/2006/main" count="90" uniqueCount="78">
  <si>
    <t>Krajina</t>
  </si>
  <si>
    <t>EPI_2020</t>
  </si>
  <si>
    <t>zmena EPI_10 rokov</t>
  </si>
  <si>
    <t>typ_krajiny</t>
  </si>
  <si>
    <t>typ_dohody</t>
  </si>
  <si>
    <t>Dohoda_0</t>
  </si>
  <si>
    <t>Dohoda_1</t>
  </si>
  <si>
    <t>Dohoda_2</t>
  </si>
  <si>
    <t>Dohoda_3</t>
  </si>
  <si>
    <t>ucinnost_dohody</t>
  </si>
  <si>
    <t>dlzka_vykonavania</t>
  </si>
  <si>
    <t>ZP</t>
  </si>
  <si>
    <t>TSD</t>
  </si>
  <si>
    <t>ohrozene_druhy</t>
  </si>
  <si>
    <t>znizenie_emisii</t>
  </si>
  <si>
    <t>tazba _dreva</t>
  </si>
  <si>
    <t>waste_management</t>
  </si>
  <si>
    <t>CE</t>
  </si>
  <si>
    <t>obcianska_spolocnost</t>
  </si>
  <si>
    <t>MIC</t>
  </si>
  <si>
    <t>organy_pre_ZP</t>
  </si>
  <si>
    <t>kontrola</t>
  </si>
  <si>
    <t>vynutitelnosť</t>
  </si>
  <si>
    <t>obmedzenie_env_hladisko</t>
  </si>
  <si>
    <t>Obmedzenie_0</t>
  </si>
  <si>
    <t>Obmedzenie_1</t>
  </si>
  <si>
    <t>Obmedzenie_2</t>
  </si>
  <si>
    <t>MEA</t>
  </si>
  <si>
    <t>Bazilejský dohovor</t>
  </si>
  <si>
    <t>Rotterdam</t>
  </si>
  <si>
    <t>CITES</t>
  </si>
  <si>
    <t>CBD</t>
  </si>
  <si>
    <t>Kartagena</t>
  </si>
  <si>
    <t>Nagojský protokol</t>
  </si>
  <si>
    <t>Stockholm</t>
  </si>
  <si>
    <t>Montrealský protokol</t>
  </si>
  <si>
    <t>Kigalský dodatok</t>
  </si>
  <si>
    <t>UNFCCC</t>
  </si>
  <si>
    <t>Kjótsky protokol</t>
  </si>
  <si>
    <t>Parížska dohoda</t>
  </si>
  <si>
    <t>SKÓRE</t>
  </si>
  <si>
    <t>Albánsko</t>
  </si>
  <si>
    <t>1</t>
  </si>
  <si>
    <t>Bosna a Hercegovina</t>
  </si>
  <si>
    <t>Srbsko</t>
  </si>
  <si>
    <t>Gruzínsko</t>
  </si>
  <si>
    <t>Moldavsko</t>
  </si>
  <si>
    <t>Ukrajina</t>
  </si>
  <si>
    <t>Azerbajdžan</t>
  </si>
  <si>
    <t>0</t>
  </si>
  <si>
    <t>Kazachstan</t>
  </si>
  <si>
    <t>Turecko</t>
  </si>
  <si>
    <t>Švajčiarsko</t>
  </si>
  <si>
    <t>EEA (Nor, Isl, Licht)</t>
  </si>
  <si>
    <t>UK</t>
  </si>
  <si>
    <t>Alžírsko</t>
  </si>
  <si>
    <t>Maroko</t>
  </si>
  <si>
    <t>Izrael</t>
  </si>
  <si>
    <t>Irak</t>
  </si>
  <si>
    <t>SADC</t>
  </si>
  <si>
    <t>Pob. Slonoviny</t>
  </si>
  <si>
    <t>Ghana</t>
  </si>
  <si>
    <t>CARIFORUM</t>
  </si>
  <si>
    <t>Japonsko</t>
  </si>
  <si>
    <t>Južná Kórea</t>
  </si>
  <si>
    <t>Singapur</t>
  </si>
  <si>
    <t>Vietnam</t>
  </si>
  <si>
    <t>Kanada</t>
  </si>
  <si>
    <t>Kolumbia, Peru</t>
  </si>
  <si>
    <t>Čile</t>
  </si>
  <si>
    <t>Stredná Amerika</t>
  </si>
  <si>
    <t>Mexiko_2000</t>
  </si>
  <si>
    <t>Mexiko</t>
  </si>
  <si>
    <t>MERCOSUR</t>
  </si>
  <si>
    <t>Čína</t>
  </si>
  <si>
    <t xml:space="preserve">Indonézia </t>
  </si>
  <si>
    <t>Austrália</t>
  </si>
  <si>
    <t>Nový Zéland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</si>
</sst>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FFC9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8" xfId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</cellXfs>
  <cellStyles count="2">
    <cellStyle name="Normálna" xfId="0" builtinId="0"/>
    <cellStyle name="Normálna 2" xfId="1" xr:uid="{383A376D-0567-4007-82D5-50BE5D134F0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8A57-C806-41B0-A3BF-D59B3BCCFBF9}">
  <dimension ref="A1:AO36"/>
  <sheetViews>
    <sheetView tabSelected="1" workbookViewId="0">
      <selection sqref="A1:AO36"/>
    </sheetView>
  </sheetViews>
  <sheetFormatPr defaultRowHeight="15" x14ac:dyDescent="0.25"/>
  <sheetData>
    <row r="1" spans="1:41" ht="4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6" t="s">
        <v>16</v>
      </c>
      <c r="R1" s="3" t="s">
        <v>17</v>
      </c>
      <c r="S1" s="3" t="s">
        <v>18</v>
      </c>
      <c r="T1" s="3" t="s">
        <v>19</v>
      </c>
      <c r="U1" s="7" t="s">
        <v>20</v>
      </c>
      <c r="V1" s="7" t="s">
        <v>21</v>
      </c>
      <c r="W1" s="3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8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spans="1:41" x14ac:dyDescent="0.25">
      <c r="A2" s="9" t="s">
        <v>41</v>
      </c>
      <c r="B2" s="10">
        <v>49</v>
      </c>
      <c r="C2" s="10">
        <v>10.199999999999999</v>
      </c>
      <c r="D2" s="10">
        <v>0</v>
      </c>
      <c r="E2" s="10">
        <v>0</v>
      </c>
      <c r="F2" s="11">
        <v>1</v>
      </c>
      <c r="G2" s="11">
        <v>0</v>
      </c>
      <c r="H2" s="11">
        <v>0</v>
      </c>
      <c r="I2" s="11">
        <v>0</v>
      </c>
      <c r="J2" s="10">
        <v>1</v>
      </c>
      <c r="K2" s="10">
        <v>11</v>
      </c>
      <c r="L2" s="10">
        <v>1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2" t="s">
        <v>42</v>
      </c>
      <c r="Y2" s="12">
        <v>0</v>
      </c>
      <c r="Z2" s="12">
        <v>1</v>
      </c>
      <c r="AA2" s="12">
        <v>0</v>
      </c>
      <c r="AB2" s="13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f>L2+M2+N2+O2+P2+Q2+R2+S2+T2+U2+V2+W2+X2+AB2+AC2+AD2+AE2+AF2+AG2+AH2+AI2+AJ2+AK2+AL2+AM2+AN2</f>
        <v>2</v>
      </c>
    </row>
    <row r="3" spans="1:41" ht="45" x14ac:dyDescent="0.25">
      <c r="A3" s="9" t="s">
        <v>43</v>
      </c>
      <c r="B3" s="10">
        <v>45.4</v>
      </c>
      <c r="C3" s="10">
        <v>10.9</v>
      </c>
      <c r="D3" s="10">
        <v>0</v>
      </c>
      <c r="E3" s="10">
        <v>0</v>
      </c>
      <c r="F3" s="11">
        <v>1</v>
      </c>
      <c r="G3" s="11">
        <v>0</v>
      </c>
      <c r="H3" s="11">
        <v>0</v>
      </c>
      <c r="I3" s="11">
        <v>0</v>
      </c>
      <c r="J3" s="10">
        <v>1</v>
      </c>
      <c r="K3" s="10">
        <v>5</v>
      </c>
      <c r="L3" s="10">
        <v>1</v>
      </c>
      <c r="M3" s="10">
        <v>0</v>
      </c>
      <c r="N3" s="10">
        <v>0</v>
      </c>
      <c r="O3" s="10">
        <v>1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2" t="s">
        <v>42</v>
      </c>
      <c r="Y3" s="12">
        <v>0</v>
      </c>
      <c r="Z3" s="12">
        <v>1</v>
      </c>
      <c r="AA3" s="12">
        <v>0</v>
      </c>
      <c r="AB3" s="13">
        <v>1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1</v>
      </c>
      <c r="AN3" s="10">
        <v>0</v>
      </c>
      <c r="AO3" s="10">
        <f t="shared" ref="AO3:AO36" si="0">L3+M3+N3+O3+P3+Q3+R3+S3+T3+U3+V3+W3+X3+AB3+AC3+AD3+AE3+AF3+AG3+AH3+AI3+AJ3+AK3+AL3+AM3+AN3</f>
        <v>5</v>
      </c>
    </row>
    <row r="4" spans="1:41" x14ac:dyDescent="0.25">
      <c r="A4" s="9" t="s">
        <v>44</v>
      </c>
      <c r="B4" s="10">
        <v>55.2</v>
      </c>
      <c r="C4" s="10">
        <v>7</v>
      </c>
      <c r="D4" s="10">
        <v>0</v>
      </c>
      <c r="E4" s="10">
        <v>0</v>
      </c>
      <c r="F4" s="11">
        <v>1</v>
      </c>
      <c r="G4" s="11">
        <v>0</v>
      </c>
      <c r="H4" s="11">
        <v>0</v>
      </c>
      <c r="I4" s="11">
        <v>0</v>
      </c>
      <c r="J4" s="10">
        <v>1</v>
      </c>
      <c r="K4" s="10">
        <v>7</v>
      </c>
      <c r="L4" s="10">
        <v>1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2" t="s">
        <v>42</v>
      </c>
      <c r="Y4" s="12">
        <v>0</v>
      </c>
      <c r="Z4" s="12">
        <v>1</v>
      </c>
      <c r="AA4" s="12">
        <v>0</v>
      </c>
      <c r="AB4" s="13">
        <v>1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1</v>
      </c>
      <c r="AM4" s="10">
        <v>1</v>
      </c>
      <c r="AN4" s="10">
        <v>0</v>
      </c>
      <c r="AO4" s="10">
        <f t="shared" si="0"/>
        <v>6</v>
      </c>
    </row>
    <row r="5" spans="1:41" ht="30" x14ac:dyDescent="0.25">
      <c r="A5" s="9" t="s">
        <v>45</v>
      </c>
      <c r="B5" s="10">
        <v>41.3</v>
      </c>
      <c r="C5" s="10">
        <v>-1.3</v>
      </c>
      <c r="D5" s="10">
        <v>0</v>
      </c>
      <c r="E5" s="10">
        <v>0</v>
      </c>
      <c r="F5" s="11">
        <v>1</v>
      </c>
      <c r="G5" s="11">
        <v>0</v>
      </c>
      <c r="H5" s="11">
        <v>0</v>
      </c>
      <c r="I5" s="11">
        <v>0</v>
      </c>
      <c r="J5" s="10">
        <v>1</v>
      </c>
      <c r="K5" s="10">
        <v>4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0</v>
      </c>
      <c r="S5" s="10">
        <v>1</v>
      </c>
      <c r="T5" s="10">
        <v>0</v>
      </c>
      <c r="U5" s="10">
        <v>1</v>
      </c>
      <c r="V5" s="10">
        <v>1</v>
      </c>
      <c r="W5" s="10">
        <v>0</v>
      </c>
      <c r="X5" s="12">
        <v>2</v>
      </c>
      <c r="Y5" s="12">
        <v>0</v>
      </c>
      <c r="Z5" s="12">
        <v>0</v>
      </c>
      <c r="AA5" s="12">
        <v>1</v>
      </c>
      <c r="AB5" s="13">
        <v>1</v>
      </c>
      <c r="AC5" s="10">
        <v>0</v>
      </c>
      <c r="AD5" s="10">
        <v>1</v>
      </c>
      <c r="AE5" s="10">
        <v>1</v>
      </c>
      <c r="AF5" s="10">
        <v>1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1</v>
      </c>
      <c r="AM5" s="10">
        <v>1</v>
      </c>
      <c r="AN5" s="10">
        <v>0</v>
      </c>
      <c r="AO5" s="10">
        <f t="shared" si="0"/>
        <v>17</v>
      </c>
    </row>
    <row r="6" spans="1:41" ht="30" x14ac:dyDescent="0.25">
      <c r="A6" s="9" t="s">
        <v>46</v>
      </c>
      <c r="B6" s="10">
        <v>44.4</v>
      </c>
      <c r="C6" s="10">
        <v>-2.2999999999999998</v>
      </c>
      <c r="D6" s="10">
        <v>0</v>
      </c>
      <c r="E6" s="10">
        <v>0</v>
      </c>
      <c r="F6" s="11">
        <v>1</v>
      </c>
      <c r="G6" s="11">
        <v>0</v>
      </c>
      <c r="H6" s="11">
        <v>0</v>
      </c>
      <c r="I6" s="11">
        <v>0</v>
      </c>
      <c r="J6" s="10">
        <v>1</v>
      </c>
      <c r="K6" s="10">
        <v>4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0</v>
      </c>
      <c r="S6" s="10">
        <v>1</v>
      </c>
      <c r="T6" s="10">
        <v>0</v>
      </c>
      <c r="U6" s="14">
        <v>1</v>
      </c>
      <c r="V6" s="10">
        <v>1</v>
      </c>
      <c r="W6" s="10">
        <v>0</v>
      </c>
      <c r="X6" s="12" t="s">
        <v>42</v>
      </c>
      <c r="Y6" s="12">
        <v>0</v>
      </c>
      <c r="Z6" s="12">
        <v>1</v>
      </c>
      <c r="AA6" s="12">
        <v>0</v>
      </c>
      <c r="AB6" s="13">
        <v>1</v>
      </c>
      <c r="AC6" s="10">
        <v>0</v>
      </c>
      <c r="AD6" s="10">
        <v>0</v>
      </c>
      <c r="AE6" s="10">
        <v>1</v>
      </c>
      <c r="AF6" s="10">
        <v>1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1</v>
      </c>
      <c r="AM6" s="10">
        <v>1</v>
      </c>
      <c r="AN6" s="10">
        <v>0</v>
      </c>
      <c r="AO6" s="10">
        <f t="shared" si="0"/>
        <v>15</v>
      </c>
    </row>
    <row r="7" spans="1:41" x14ac:dyDescent="0.25">
      <c r="A7" s="9" t="s">
        <v>47</v>
      </c>
      <c r="B7" s="10">
        <v>49.5</v>
      </c>
      <c r="C7" s="10">
        <v>0.7</v>
      </c>
      <c r="D7" s="10">
        <v>0</v>
      </c>
      <c r="E7" s="10">
        <v>0</v>
      </c>
      <c r="F7" s="11">
        <v>1</v>
      </c>
      <c r="G7" s="11">
        <v>0</v>
      </c>
      <c r="H7" s="11">
        <v>0</v>
      </c>
      <c r="I7" s="11">
        <v>0</v>
      </c>
      <c r="J7" s="10">
        <v>1</v>
      </c>
      <c r="K7" s="10">
        <v>4</v>
      </c>
      <c r="L7" s="10">
        <v>1</v>
      </c>
      <c r="M7" s="10">
        <v>1</v>
      </c>
      <c r="N7" s="10">
        <v>0</v>
      </c>
      <c r="O7" s="10">
        <v>1</v>
      </c>
      <c r="P7" s="10">
        <v>1</v>
      </c>
      <c r="Q7" s="10">
        <v>1</v>
      </c>
      <c r="R7" s="10">
        <v>0</v>
      </c>
      <c r="S7" s="10">
        <v>1</v>
      </c>
      <c r="T7" s="10">
        <v>0</v>
      </c>
      <c r="U7" s="14">
        <v>1</v>
      </c>
      <c r="V7" s="10">
        <v>1</v>
      </c>
      <c r="W7" s="10">
        <v>0</v>
      </c>
      <c r="X7" s="12" t="s">
        <v>42</v>
      </c>
      <c r="Y7" s="12">
        <v>0</v>
      </c>
      <c r="Z7" s="12">
        <v>1</v>
      </c>
      <c r="AA7" s="12">
        <v>0</v>
      </c>
      <c r="AB7" s="13">
        <v>1</v>
      </c>
      <c r="AC7" s="10">
        <v>0</v>
      </c>
      <c r="AD7" s="10">
        <v>0</v>
      </c>
      <c r="AE7" s="10">
        <v>0</v>
      </c>
      <c r="AF7" s="10">
        <v>1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1</v>
      </c>
      <c r="AM7" s="10">
        <v>1</v>
      </c>
      <c r="AN7" s="10">
        <v>0</v>
      </c>
      <c r="AO7" s="10">
        <f t="shared" si="0"/>
        <v>13</v>
      </c>
    </row>
    <row r="8" spans="1:41" ht="30" x14ac:dyDescent="0.25">
      <c r="A8" s="9" t="s">
        <v>48</v>
      </c>
      <c r="B8" s="10">
        <v>46.5</v>
      </c>
      <c r="C8" s="10">
        <v>4</v>
      </c>
      <c r="D8" s="10">
        <v>0</v>
      </c>
      <c r="E8" s="10">
        <v>3</v>
      </c>
      <c r="F8" s="11">
        <v>0</v>
      </c>
      <c r="G8" s="11">
        <v>0</v>
      </c>
      <c r="H8" s="11">
        <v>0</v>
      </c>
      <c r="I8" s="11">
        <v>1</v>
      </c>
      <c r="J8" s="10">
        <v>1</v>
      </c>
      <c r="K8" s="10">
        <v>21</v>
      </c>
      <c r="L8" s="10">
        <v>1</v>
      </c>
      <c r="M8" s="10">
        <v>0</v>
      </c>
      <c r="N8" s="10">
        <v>0</v>
      </c>
      <c r="O8" s="10">
        <v>0</v>
      </c>
      <c r="P8" s="10">
        <v>0</v>
      </c>
      <c r="Q8" s="10">
        <v>1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2" t="s">
        <v>49</v>
      </c>
      <c r="Y8" s="12">
        <v>1</v>
      </c>
      <c r="Z8" s="12">
        <v>0</v>
      </c>
      <c r="AA8" s="12">
        <v>0</v>
      </c>
      <c r="AB8" s="13">
        <v>1</v>
      </c>
      <c r="AC8" s="10">
        <v>1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f t="shared" si="0"/>
        <v>4</v>
      </c>
    </row>
    <row r="9" spans="1:41" ht="30" x14ac:dyDescent="0.25">
      <c r="A9" s="9" t="s">
        <v>50</v>
      </c>
      <c r="B9" s="10">
        <v>44.7</v>
      </c>
      <c r="C9" s="10">
        <v>9</v>
      </c>
      <c r="D9" s="10">
        <v>0</v>
      </c>
      <c r="E9" s="10">
        <v>3</v>
      </c>
      <c r="F9" s="11">
        <v>0</v>
      </c>
      <c r="G9" s="11">
        <v>0</v>
      </c>
      <c r="H9" s="11">
        <v>0</v>
      </c>
      <c r="I9" s="11">
        <v>1</v>
      </c>
      <c r="J9" s="10">
        <v>0</v>
      </c>
      <c r="K9" s="10">
        <v>4</v>
      </c>
      <c r="L9" s="10">
        <v>1</v>
      </c>
      <c r="M9" s="10">
        <v>1</v>
      </c>
      <c r="N9" s="10">
        <v>0</v>
      </c>
      <c r="O9" s="10">
        <v>0</v>
      </c>
      <c r="P9" s="10">
        <v>1</v>
      </c>
      <c r="Q9" s="10">
        <v>1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  <c r="X9" s="12">
        <v>1</v>
      </c>
      <c r="Y9" s="12">
        <v>0</v>
      </c>
      <c r="Z9" s="12">
        <v>1</v>
      </c>
      <c r="AA9" s="12">
        <v>0</v>
      </c>
      <c r="AB9" s="13">
        <v>1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1</v>
      </c>
      <c r="AM9" s="10">
        <v>0</v>
      </c>
      <c r="AN9" s="10">
        <v>0</v>
      </c>
      <c r="AO9" s="10">
        <f t="shared" si="0"/>
        <v>8</v>
      </c>
    </row>
    <row r="10" spans="1:41" x14ac:dyDescent="0.25">
      <c r="A10" s="9" t="s">
        <v>51</v>
      </c>
      <c r="B10" s="10">
        <v>42.6</v>
      </c>
      <c r="C10" s="10">
        <v>2.1</v>
      </c>
      <c r="D10" s="10">
        <v>0</v>
      </c>
      <c r="E10" s="10">
        <v>1</v>
      </c>
      <c r="F10" s="11">
        <v>0</v>
      </c>
      <c r="G10" s="11">
        <v>1</v>
      </c>
      <c r="H10" s="11">
        <v>0</v>
      </c>
      <c r="I10" s="11">
        <v>0</v>
      </c>
      <c r="J10" s="10">
        <v>1</v>
      </c>
      <c r="K10" s="10">
        <v>25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2" t="s">
        <v>42</v>
      </c>
      <c r="Y10" s="12">
        <v>0</v>
      </c>
      <c r="Z10" s="12">
        <v>1</v>
      </c>
      <c r="AA10" s="12">
        <v>0</v>
      </c>
      <c r="AB10" s="13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f t="shared" si="0"/>
        <v>1</v>
      </c>
    </row>
    <row r="11" spans="1:41" ht="30" x14ac:dyDescent="0.25">
      <c r="A11" s="9" t="s">
        <v>52</v>
      </c>
      <c r="B11" s="10">
        <v>81.5</v>
      </c>
      <c r="C11" s="10">
        <v>8.6</v>
      </c>
      <c r="D11" s="10">
        <v>1</v>
      </c>
      <c r="E11" s="10">
        <v>1</v>
      </c>
      <c r="F11" s="11">
        <v>0</v>
      </c>
      <c r="G11" s="11">
        <v>1</v>
      </c>
      <c r="H11" s="11">
        <v>0</v>
      </c>
      <c r="I11" s="11">
        <v>0</v>
      </c>
      <c r="J11" s="10">
        <v>1</v>
      </c>
      <c r="K11" s="10">
        <v>47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2" t="s">
        <v>42</v>
      </c>
      <c r="Y11" s="12">
        <v>0</v>
      </c>
      <c r="Z11" s="12">
        <v>1</v>
      </c>
      <c r="AA11" s="12">
        <v>0</v>
      </c>
      <c r="AB11" s="13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f t="shared" si="0"/>
        <v>1</v>
      </c>
    </row>
    <row r="12" spans="1:41" ht="45" x14ac:dyDescent="0.25">
      <c r="A12" s="9" t="s">
        <v>53</v>
      </c>
      <c r="B12" s="10">
        <v>75</v>
      </c>
      <c r="C12" s="10">
        <v>4</v>
      </c>
      <c r="D12" s="10">
        <v>1</v>
      </c>
      <c r="E12" s="10">
        <v>1</v>
      </c>
      <c r="F12" s="11">
        <v>0</v>
      </c>
      <c r="G12" s="11">
        <v>1</v>
      </c>
      <c r="H12" s="11">
        <v>0</v>
      </c>
      <c r="I12" s="11">
        <v>0</v>
      </c>
      <c r="J12" s="10">
        <v>1</v>
      </c>
      <c r="K12" s="10">
        <v>26</v>
      </c>
      <c r="L12" s="10">
        <v>1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2" t="s">
        <v>49</v>
      </c>
      <c r="Y12" s="12">
        <v>1</v>
      </c>
      <c r="Z12" s="12">
        <v>0</v>
      </c>
      <c r="AA12" s="12">
        <v>0</v>
      </c>
      <c r="AB12" s="13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f t="shared" si="0"/>
        <v>2</v>
      </c>
    </row>
    <row r="13" spans="1:41" x14ac:dyDescent="0.25">
      <c r="A13" s="9" t="s">
        <v>54</v>
      </c>
      <c r="B13" s="10">
        <v>81.3</v>
      </c>
      <c r="C13" s="10">
        <v>9</v>
      </c>
      <c r="D13" s="10">
        <v>1</v>
      </c>
      <c r="E13" s="10">
        <v>1</v>
      </c>
      <c r="F13" s="11">
        <v>0</v>
      </c>
      <c r="G13" s="11">
        <v>1</v>
      </c>
      <c r="H13" s="11">
        <v>0</v>
      </c>
      <c r="I13" s="11">
        <v>0</v>
      </c>
      <c r="J13" s="15">
        <v>0</v>
      </c>
      <c r="K13" s="10">
        <v>0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0</v>
      </c>
      <c r="U13" s="16">
        <v>1</v>
      </c>
      <c r="V13" s="10">
        <v>1</v>
      </c>
      <c r="W13" s="10">
        <v>1</v>
      </c>
      <c r="X13" s="12">
        <v>2</v>
      </c>
      <c r="Y13" s="12">
        <v>0</v>
      </c>
      <c r="Z13" s="12">
        <v>0</v>
      </c>
      <c r="AA13" s="12">
        <v>1</v>
      </c>
      <c r="AB13" s="13">
        <v>1</v>
      </c>
      <c r="AC13" s="10">
        <v>0</v>
      </c>
      <c r="AD13" s="10">
        <v>0</v>
      </c>
      <c r="AE13" s="10">
        <v>1</v>
      </c>
      <c r="AF13" s="10">
        <v>1</v>
      </c>
      <c r="AG13" s="10">
        <v>1</v>
      </c>
      <c r="AH13" s="10">
        <v>1</v>
      </c>
      <c r="AI13" s="10">
        <v>0</v>
      </c>
      <c r="AJ13" s="10">
        <v>1</v>
      </c>
      <c r="AK13" s="10">
        <v>0</v>
      </c>
      <c r="AL13" s="10">
        <v>1</v>
      </c>
      <c r="AM13" s="10">
        <v>0</v>
      </c>
      <c r="AN13" s="10">
        <v>1</v>
      </c>
      <c r="AO13" s="10">
        <f t="shared" si="0"/>
        <v>21</v>
      </c>
    </row>
    <row r="14" spans="1:41" x14ac:dyDescent="0.25">
      <c r="A14" s="9" t="s">
        <v>55</v>
      </c>
      <c r="B14" s="10">
        <v>44.8</v>
      </c>
      <c r="C14" s="10">
        <v>0.5</v>
      </c>
      <c r="D14" s="10">
        <v>0</v>
      </c>
      <c r="E14" s="10">
        <v>0</v>
      </c>
      <c r="F14" s="11">
        <v>1</v>
      </c>
      <c r="G14" s="11">
        <v>0</v>
      </c>
      <c r="H14" s="11">
        <v>0</v>
      </c>
      <c r="I14" s="11">
        <v>0</v>
      </c>
      <c r="J14" s="10">
        <v>1</v>
      </c>
      <c r="K14" s="10">
        <v>15</v>
      </c>
      <c r="L14" s="10">
        <v>1</v>
      </c>
      <c r="M14" s="10">
        <v>0</v>
      </c>
      <c r="N14" s="10">
        <v>0</v>
      </c>
      <c r="O14" s="10">
        <v>0</v>
      </c>
      <c r="P14" s="10">
        <v>0</v>
      </c>
      <c r="Q14" s="10">
        <v>1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2" t="s">
        <v>42</v>
      </c>
      <c r="Y14" s="12">
        <v>0</v>
      </c>
      <c r="Z14" s="12">
        <v>1</v>
      </c>
      <c r="AA14" s="12">
        <v>0</v>
      </c>
      <c r="AB14" s="13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f t="shared" si="0"/>
        <v>3</v>
      </c>
    </row>
    <row r="15" spans="1:41" x14ac:dyDescent="0.25">
      <c r="A15" s="9" t="s">
        <v>56</v>
      </c>
      <c r="B15" s="10">
        <v>42.3</v>
      </c>
      <c r="C15" s="10">
        <v>13.3</v>
      </c>
      <c r="D15" s="10">
        <v>0</v>
      </c>
      <c r="E15" s="10">
        <v>0</v>
      </c>
      <c r="F15" s="11">
        <v>1</v>
      </c>
      <c r="G15" s="11">
        <v>0</v>
      </c>
      <c r="H15" s="11">
        <v>0</v>
      </c>
      <c r="I15" s="11">
        <v>0</v>
      </c>
      <c r="J15" s="10">
        <v>1</v>
      </c>
      <c r="K15" s="10">
        <v>20</v>
      </c>
      <c r="L15" s="10">
        <v>1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2" t="s">
        <v>49</v>
      </c>
      <c r="Y15" s="12">
        <v>1</v>
      </c>
      <c r="Z15" s="12">
        <v>0</v>
      </c>
      <c r="AA15" s="12">
        <v>0</v>
      </c>
      <c r="AB15" s="13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f t="shared" si="0"/>
        <v>1</v>
      </c>
    </row>
    <row r="16" spans="1:41" x14ac:dyDescent="0.25">
      <c r="A16" s="9" t="s">
        <v>57</v>
      </c>
      <c r="B16" s="10">
        <v>65.8</v>
      </c>
      <c r="C16" s="10">
        <v>5.2</v>
      </c>
      <c r="D16" s="10">
        <v>1</v>
      </c>
      <c r="E16" s="10">
        <v>0</v>
      </c>
      <c r="F16" s="11">
        <v>1</v>
      </c>
      <c r="G16" s="11">
        <v>0</v>
      </c>
      <c r="H16" s="11">
        <v>0</v>
      </c>
      <c r="I16" s="11">
        <v>0</v>
      </c>
      <c r="J16" s="10">
        <v>1</v>
      </c>
      <c r="K16" s="10">
        <v>20</v>
      </c>
      <c r="L16" s="10">
        <v>1</v>
      </c>
      <c r="M16" s="10">
        <v>0</v>
      </c>
      <c r="N16" s="10">
        <v>0</v>
      </c>
      <c r="O16" s="10">
        <v>0</v>
      </c>
      <c r="P16" s="10">
        <v>0</v>
      </c>
      <c r="Q16" s="10">
        <v>1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2" t="s">
        <v>42</v>
      </c>
      <c r="Y16" s="12">
        <v>0</v>
      </c>
      <c r="Z16" s="12">
        <v>1</v>
      </c>
      <c r="AA16" s="12">
        <v>0</v>
      </c>
      <c r="AB16" s="13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f t="shared" si="0"/>
        <v>3</v>
      </c>
    </row>
    <row r="17" spans="1:41" x14ac:dyDescent="0.25">
      <c r="A17" s="9" t="s">
        <v>58</v>
      </c>
      <c r="B17" s="10">
        <v>39.5</v>
      </c>
      <c r="C17" s="10">
        <v>0.2</v>
      </c>
      <c r="D17" s="10">
        <v>0</v>
      </c>
      <c r="E17" s="10">
        <v>3</v>
      </c>
      <c r="F17" s="11">
        <v>0</v>
      </c>
      <c r="G17" s="11">
        <v>0</v>
      </c>
      <c r="H17" s="11">
        <v>0</v>
      </c>
      <c r="I17" s="11">
        <v>1</v>
      </c>
      <c r="J17" s="10">
        <v>0</v>
      </c>
      <c r="K17" s="10">
        <v>8</v>
      </c>
      <c r="L17" s="10">
        <v>1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2" t="s">
        <v>42</v>
      </c>
      <c r="Y17" s="12">
        <v>0</v>
      </c>
      <c r="Z17" s="12">
        <v>1</v>
      </c>
      <c r="AA17" s="12">
        <v>0</v>
      </c>
      <c r="AB17" s="13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f t="shared" si="0"/>
        <v>2</v>
      </c>
    </row>
    <row r="18" spans="1:41" x14ac:dyDescent="0.25">
      <c r="A18" s="17" t="s">
        <v>59</v>
      </c>
      <c r="B18" s="16">
        <v>36.57</v>
      </c>
      <c r="C18" s="16">
        <v>3.2</v>
      </c>
      <c r="D18" s="10">
        <v>0</v>
      </c>
      <c r="E18" s="10">
        <v>2</v>
      </c>
      <c r="F18" s="11">
        <v>0</v>
      </c>
      <c r="G18" s="11">
        <v>0</v>
      </c>
      <c r="H18" s="11">
        <v>1</v>
      </c>
      <c r="I18" s="11">
        <v>0</v>
      </c>
      <c r="J18" s="10">
        <v>0</v>
      </c>
      <c r="K18" s="10">
        <v>4</v>
      </c>
      <c r="L18" s="10">
        <v>1</v>
      </c>
      <c r="M18" s="10">
        <v>1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8">
        <v>0</v>
      </c>
      <c r="W18" s="10">
        <v>0</v>
      </c>
      <c r="X18" s="12">
        <v>1</v>
      </c>
      <c r="Y18" s="12">
        <v>0</v>
      </c>
      <c r="Z18" s="12">
        <v>1</v>
      </c>
      <c r="AA18" s="12">
        <v>0</v>
      </c>
      <c r="AB18" s="13">
        <v>1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f t="shared" si="0"/>
        <v>4</v>
      </c>
    </row>
    <row r="19" spans="1:41" ht="24" x14ac:dyDescent="0.25">
      <c r="A19" s="17" t="s">
        <v>60</v>
      </c>
      <c r="B19" s="16">
        <v>25.8</v>
      </c>
      <c r="C19" s="16">
        <v>-8.5</v>
      </c>
      <c r="D19" s="10">
        <v>0</v>
      </c>
      <c r="E19" s="10">
        <v>2</v>
      </c>
      <c r="F19" s="11">
        <v>0</v>
      </c>
      <c r="G19" s="11">
        <v>0</v>
      </c>
      <c r="H19" s="11">
        <v>1</v>
      </c>
      <c r="I19" s="11">
        <v>0</v>
      </c>
      <c r="J19" s="10">
        <v>0</v>
      </c>
      <c r="K19" s="10">
        <v>4</v>
      </c>
      <c r="L19" s="10">
        <v>1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2">
        <v>2</v>
      </c>
      <c r="Y19" s="12">
        <v>0</v>
      </c>
      <c r="Z19" s="12">
        <v>0</v>
      </c>
      <c r="AA19" s="12">
        <v>1</v>
      </c>
      <c r="AB19" s="13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f t="shared" si="0"/>
        <v>3</v>
      </c>
    </row>
    <row r="20" spans="1:41" x14ac:dyDescent="0.25">
      <c r="A20" s="17" t="s">
        <v>61</v>
      </c>
      <c r="B20" s="16">
        <v>27.6</v>
      </c>
      <c r="C20" s="16">
        <v>-4.4000000000000004</v>
      </c>
      <c r="D20" s="10">
        <v>0</v>
      </c>
      <c r="E20" s="10">
        <v>2</v>
      </c>
      <c r="F20" s="11">
        <v>0</v>
      </c>
      <c r="G20" s="11">
        <v>0</v>
      </c>
      <c r="H20" s="11">
        <v>1</v>
      </c>
      <c r="I20" s="11">
        <v>0</v>
      </c>
      <c r="J20" s="10">
        <v>0</v>
      </c>
      <c r="K20" s="10">
        <v>4</v>
      </c>
      <c r="L20" s="10">
        <v>1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2">
        <v>1</v>
      </c>
      <c r="Y20" s="12">
        <v>0</v>
      </c>
      <c r="Z20" s="12">
        <v>1</v>
      </c>
      <c r="AA20" s="12">
        <v>0</v>
      </c>
      <c r="AB20" s="13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f t="shared" si="0"/>
        <v>2</v>
      </c>
    </row>
    <row r="21" spans="1:41" ht="30" x14ac:dyDescent="0.25">
      <c r="A21" s="9" t="s">
        <v>62</v>
      </c>
      <c r="B21" s="10">
        <v>44.77</v>
      </c>
      <c r="C21" s="10">
        <v>1.01</v>
      </c>
      <c r="D21" s="10">
        <v>0</v>
      </c>
      <c r="E21" s="10">
        <v>2</v>
      </c>
      <c r="F21" s="11">
        <v>0</v>
      </c>
      <c r="G21" s="11">
        <v>0</v>
      </c>
      <c r="H21" s="11">
        <v>1</v>
      </c>
      <c r="I21" s="11">
        <v>0</v>
      </c>
      <c r="J21" s="10">
        <v>0</v>
      </c>
      <c r="K21" s="10">
        <v>12</v>
      </c>
      <c r="L21" s="10">
        <v>1</v>
      </c>
      <c r="M21" s="14">
        <v>1</v>
      </c>
      <c r="N21" s="10">
        <v>0</v>
      </c>
      <c r="O21" s="10">
        <v>0</v>
      </c>
      <c r="P21" s="10">
        <v>1</v>
      </c>
      <c r="Q21" s="10">
        <v>0</v>
      </c>
      <c r="R21" s="10">
        <v>0</v>
      </c>
      <c r="S21" s="10">
        <v>1</v>
      </c>
      <c r="T21" s="10">
        <v>0</v>
      </c>
      <c r="U21" s="16">
        <v>1</v>
      </c>
      <c r="V21" s="10">
        <v>1</v>
      </c>
      <c r="W21" s="10">
        <v>0</v>
      </c>
      <c r="X21" s="12">
        <v>1</v>
      </c>
      <c r="Y21" s="12">
        <v>0</v>
      </c>
      <c r="Z21" s="12">
        <v>1</v>
      </c>
      <c r="AA21" s="12">
        <v>0</v>
      </c>
      <c r="AB21" s="13">
        <v>0</v>
      </c>
      <c r="AC21" s="10">
        <v>0</v>
      </c>
      <c r="AD21" s="10">
        <v>0</v>
      </c>
      <c r="AE21" s="10">
        <v>0</v>
      </c>
      <c r="AF21" s="10">
        <v>1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f t="shared" si="0"/>
        <v>8</v>
      </c>
    </row>
    <row r="22" spans="1:41" x14ac:dyDescent="0.25">
      <c r="A22" s="9" t="s">
        <v>63</v>
      </c>
      <c r="B22" s="10">
        <v>75.099999999999994</v>
      </c>
      <c r="C22" s="10">
        <v>-0.5</v>
      </c>
      <c r="D22" s="10">
        <v>1</v>
      </c>
      <c r="E22" s="10">
        <v>1</v>
      </c>
      <c r="F22" s="11">
        <v>0</v>
      </c>
      <c r="G22" s="11">
        <v>1</v>
      </c>
      <c r="H22" s="11">
        <v>0</v>
      </c>
      <c r="I22" s="11">
        <v>0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0</v>
      </c>
      <c r="R22" s="10">
        <v>0</v>
      </c>
      <c r="S22" s="10">
        <v>1</v>
      </c>
      <c r="T22" s="10">
        <v>0</v>
      </c>
      <c r="U22" s="10">
        <v>1</v>
      </c>
      <c r="V22" s="10">
        <v>1</v>
      </c>
      <c r="W22" s="10">
        <v>0</v>
      </c>
      <c r="X22" s="12">
        <v>2</v>
      </c>
      <c r="Y22" s="12">
        <v>0</v>
      </c>
      <c r="Z22" s="12">
        <v>0</v>
      </c>
      <c r="AA22" s="12">
        <v>1</v>
      </c>
      <c r="AB22" s="19">
        <v>1</v>
      </c>
      <c r="AC22" s="10">
        <v>0</v>
      </c>
      <c r="AD22" s="10">
        <v>0</v>
      </c>
      <c r="AE22" s="18">
        <v>1</v>
      </c>
      <c r="AF22" s="10">
        <v>1</v>
      </c>
      <c r="AG22" s="10">
        <v>1</v>
      </c>
      <c r="AH22" s="10">
        <v>1</v>
      </c>
      <c r="AI22" s="18">
        <v>0</v>
      </c>
      <c r="AJ22" s="18">
        <v>0</v>
      </c>
      <c r="AK22" s="10">
        <v>0</v>
      </c>
      <c r="AL22" s="18">
        <v>1</v>
      </c>
      <c r="AM22" s="18">
        <v>0</v>
      </c>
      <c r="AN22" s="18">
        <v>1</v>
      </c>
      <c r="AO22" s="10">
        <f t="shared" si="0"/>
        <v>17</v>
      </c>
    </row>
    <row r="23" spans="1:41" ht="30" x14ac:dyDescent="0.25">
      <c r="A23" s="9" t="s">
        <v>64</v>
      </c>
      <c r="B23" s="10">
        <v>66.5</v>
      </c>
      <c r="C23" s="10">
        <v>2.2000000000000002</v>
      </c>
      <c r="D23" s="10">
        <v>1</v>
      </c>
      <c r="E23" s="10">
        <v>1</v>
      </c>
      <c r="F23" s="11">
        <v>0</v>
      </c>
      <c r="G23" s="11">
        <v>1</v>
      </c>
      <c r="H23" s="11">
        <v>0</v>
      </c>
      <c r="I23" s="11">
        <v>0</v>
      </c>
      <c r="J23" s="10">
        <v>1</v>
      </c>
      <c r="K23" s="10">
        <v>9</v>
      </c>
      <c r="L23" s="10">
        <v>1</v>
      </c>
      <c r="M23" s="10">
        <v>1</v>
      </c>
      <c r="N23" s="10">
        <v>0</v>
      </c>
      <c r="O23" s="10">
        <v>1</v>
      </c>
      <c r="P23" s="10">
        <v>0</v>
      </c>
      <c r="Q23" s="10">
        <v>1</v>
      </c>
      <c r="R23" s="10">
        <v>0</v>
      </c>
      <c r="S23" s="10">
        <v>1</v>
      </c>
      <c r="T23" s="10">
        <v>0</v>
      </c>
      <c r="U23" s="10">
        <v>1</v>
      </c>
      <c r="V23" s="10">
        <v>0</v>
      </c>
      <c r="W23" s="10">
        <v>0</v>
      </c>
      <c r="X23" s="12">
        <v>1</v>
      </c>
      <c r="Y23" s="12">
        <v>0</v>
      </c>
      <c r="Z23" s="12">
        <v>1</v>
      </c>
      <c r="AA23" s="12">
        <v>0</v>
      </c>
      <c r="AB23" s="13">
        <v>1</v>
      </c>
      <c r="AC23" s="10">
        <v>0</v>
      </c>
      <c r="AD23" s="10">
        <v>0</v>
      </c>
      <c r="AE23" s="10">
        <v>0</v>
      </c>
      <c r="AF23" s="10">
        <v>1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1</v>
      </c>
      <c r="AM23" s="10">
        <v>1</v>
      </c>
      <c r="AN23" s="10">
        <v>0</v>
      </c>
      <c r="AO23" s="10">
        <f t="shared" si="0"/>
        <v>11</v>
      </c>
    </row>
    <row r="24" spans="1:41" x14ac:dyDescent="0.25">
      <c r="A24" s="9" t="s">
        <v>65</v>
      </c>
      <c r="B24" s="10">
        <v>58.1</v>
      </c>
      <c r="C24" s="10">
        <v>-8.4</v>
      </c>
      <c r="D24" s="10">
        <v>1</v>
      </c>
      <c r="E24" s="10">
        <v>1</v>
      </c>
      <c r="F24" s="11">
        <v>0</v>
      </c>
      <c r="G24" s="11">
        <v>1</v>
      </c>
      <c r="H24" s="11">
        <v>0</v>
      </c>
      <c r="I24" s="11">
        <v>0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0</v>
      </c>
      <c r="R24" s="10">
        <v>0</v>
      </c>
      <c r="S24" s="10">
        <v>1</v>
      </c>
      <c r="T24" s="10">
        <v>1</v>
      </c>
      <c r="U24" s="10">
        <v>1</v>
      </c>
      <c r="V24" s="10">
        <v>1</v>
      </c>
      <c r="W24" s="10">
        <v>0</v>
      </c>
      <c r="X24" s="12" t="s">
        <v>42</v>
      </c>
      <c r="Y24" s="12">
        <v>0</v>
      </c>
      <c r="Z24" s="12">
        <v>1</v>
      </c>
      <c r="AA24" s="12">
        <v>0</v>
      </c>
      <c r="AB24" s="13">
        <v>1</v>
      </c>
      <c r="AC24" s="10">
        <v>0</v>
      </c>
      <c r="AD24" s="10">
        <v>0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1</v>
      </c>
      <c r="AM24" s="10">
        <v>1</v>
      </c>
      <c r="AN24" s="10">
        <v>1</v>
      </c>
      <c r="AO24" s="10">
        <f t="shared" si="0"/>
        <v>15</v>
      </c>
    </row>
    <row r="25" spans="1:41" x14ac:dyDescent="0.25">
      <c r="A25" s="9" t="s">
        <v>66</v>
      </c>
      <c r="B25" s="10">
        <v>33.4</v>
      </c>
      <c r="C25" s="10">
        <v>5.4</v>
      </c>
      <c r="D25" s="10">
        <v>0</v>
      </c>
      <c r="E25" s="10">
        <v>1</v>
      </c>
      <c r="F25" s="11">
        <v>0</v>
      </c>
      <c r="G25" s="11">
        <v>1</v>
      </c>
      <c r="H25" s="11">
        <v>0</v>
      </c>
      <c r="I25" s="11">
        <v>0</v>
      </c>
      <c r="J25" s="10">
        <v>1</v>
      </c>
      <c r="K25" s="10">
        <v>0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0</v>
      </c>
      <c r="S25" s="10">
        <v>1</v>
      </c>
      <c r="T25" s="10">
        <v>1</v>
      </c>
      <c r="U25" s="10">
        <v>1</v>
      </c>
      <c r="V25" s="14">
        <v>1</v>
      </c>
      <c r="W25" s="10">
        <v>0</v>
      </c>
      <c r="X25" s="12">
        <v>2</v>
      </c>
      <c r="Y25" s="12">
        <v>0</v>
      </c>
      <c r="Z25" s="12">
        <v>0</v>
      </c>
      <c r="AA25" s="12">
        <v>1</v>
      </c>
      <c r="AB25" s="13">
        <v>1</v>
      </c>
      <c r="AC25" s="10">
        <v>0</v>
      </c>
      <c r="AD25" s="10">
        <v>0</v>
      </c>
      <c r="AE25" s="10">
        <v>1</v>
      </c>
      <c r="AF25" s="10">
        <v>1</v>
      </c>
      <c r="AG25" s="10">
        <v>0</v>
      </c>
      <c r="AH25" s="10">
        <v>1</v>
      </c>
      <c r="AI25" s="10">
        <v>0</v>
      </c>
      <c r="AJ25" s="10">
        <v>0</v>
      </c>
      <c r="AK25" s="10">
        <v>0</v>
      </c>
      <c r="AL25" s="10">
        <v>1</v>
      </c>
      <c r="AM25" s="10">
        <v>1</v>
      </c>
      <c r="AN25" s="10">
        <v>1</v>
      </c>
      <c r="AO25" s="10">
        <f t="shared" si="0"/>
        <v>19</v>
      </c>
    </row>
    <row r="26" spans="1:41" x14ac:dyDescent="0.25">
      <c r="A26" s="9" t="s">
        <v>67</v>
      </c>
      <c r="B26" s="10">
        <v>71</v>
      </c>
      <c r="C26" s="10">
        <v>3.7</v>
      </c>
      <c r="D26" s="10">
        <v>1</v>
      </c>
      <c r="E26" s="10">
        <v>1</v>
      </c>
      <c r="F26" s="11">
        <v>0</v>
      </c>
      <c r="G26" s="11">
        <v>1</v>
      </c>
      <c r="H26" s="11">
        <v>0</v>
      </c>
      <c r="I26" s="11">
        <v>0</v>
      </c>
      <c r="J26" s="10">
        <v>0</v>
      </c>
      <c r="K26" s="10">
        <v>3</v>
      </c>
      <c r="L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0</v>
      </c>
      <c r="S26" s="10">
        <v>1</v>
      </c>
      <c r="T26" s="10">
        <v>1</v>
      </c>
      <c r="U26" s="10">
        <v>1</v>
      </c>
      <c r="V26" s="10">
        <v>1</v>
      </c>
      <c r="W26" s="10">
        <v>0</v>
      </c>
      <c r="X26" s="12">
        <v>2</v>
      </c>
      <c r="Y26" s="12">
        <v>0</v>
      </c>
      <c r="Z26" s="12">
        <v>0</v>
      </c>
      <c r="AA26" s="12">
        <v>1</v>
      </c>
      <c r="AB26" s="13">
        <v>1</v>
      </c>
      <c r="AC26" s="10">
        <v>0</v>
      </c>
      <c r="AD26" s="10">
        <v>0</v>
      </c>
      <c r="AE26" s="10">
        <v>1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f t="shared" si="0"/>
        <v>14</v>
      </c>
    </row>
    <row r="27" spans="1:41" ht="30" x14ac:dyDescent="0.25">
      <c r="A27" s="9" t="s">
        <v>68</v>
      </c>
      <c r="B27" s="10">
        <v>48.45</v>
      </c>
      <c r="C27" s="10">
        <v>0.05</v>
      </c>
      <c r="D27" s="10">
        <v>0</v>
      </c>
      <c r="E27" s="10">
        <v>0</v>
      </c>
      <c r="F27" s="11">
        <v>1</v>
      </c>
      <c r="G27" s="11">
        <v>0</v>
      </c>
      <c r="H27" s="11">
        <v>0</v>
      </c>
      <c r="I27" s="11">
        <v>0</v>
      </c>
      <c r="J27" s="10">
        <v>0</v>
      </c>
      <c r="K27" s="10">
        <v>7</v>
      </c>
      <c r="L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0</v>
      </c>
      <c r="S27" s="10">
        <v>1</v>
      </c>
      <c r="T27" s="10">
        <v>0</v>
      </c>
      <c r="U27" s="10">
        <v>1</v>
      </c>
      <c r="V27" s="10">
        <v>1</v>
      </c>
      <c r="W27" s="10">
        <v>1</v>
      </c>
      <c r="X27" s="12">
        <v>1</v>
      </c>
      <c r="Y27" s="12">
        <v>0</v>
      </c>
      <c r="Z27" s="12">
        <v>1</v>
      </c>
      <c r="AA27" s="12">
        <v>0</v>
      </c>
      <c r="AB27" s="13">
        <v>1</v>
      </c>
      <c r="AC27" s="10">
        <v>1</v>
      </c>
      <c r="AD27" s="10">
        <v>1</v>
      </c>
      <c r="AE27" s="10">
        <v>1</v>
      </c>
      <c r="AF27" s="10">
        <v>1</v>
      </c>
      <c r="AG27" s="10">
        <v>1</v>
      </c>
      <c r="AH27" s="10">
        <v>0</v>
      </c>
      <c r="AI27" s="10">
        <v>1</v>
      </c>
      <c r="AJ27" s="10">
        <v>1</v>
      </c>
      <c r="AK27" s="10">
        <v>0</v>
      </c>
      <c r="AL27" s="10">
        <v>1</v>
      </c>
      <c r="AM27" s="10">
        <v>1</v>
      </c>
      <c r="AN27" s="10">
        <v>0</v>
      </c>
      <c r="AO27" s="10">
        <f t="shared" si="0"/>
        <v>21</v>
      </c>
    </row>
    <row r="28" spans="1:41" x14ac:dyDescent="0.25">
      <c r="A28" s="9" t="s">
        <v>69</v>
      </c>
      <c r="B28" s="10">
        <v>55.3</v>
      </c>
      <c r="C28" s="10">
        <v>3.7</v>
      </c>
      <c r="D28" s="10">
        <v>0</v>
      </c>
      <c r="E28" s="10">
        <v>0</v>
      </c>
      <c r="F28" s="11">
        <v>1</v>
      </c>
      <c r="G28" s="11">
        <v>0</v>
      </c>
      <c r="H28" s="11">
        <v>0</v>
      </c>
      <c r="I28" s="11">
        <v>0</v>
      </c>
      <c r="J28" s="10">
        <v>1</v>
      </c>
      <c r="K28" s="10">
        <v>17</v>
      </c>
      <c r="L28" s="10">
        <v>1</v>
      </c>
      <c r="M28" s="10">
        <v>0</v>
      </c>
      <c r="N28" s="10">
        <v>0</v>
      </c>
      <c r="O28" s="10">
        <v>0</v>
      </c>
      <c r="P28" s="10">
        <v>0</v>
      </c>
      <c r="Q28" s="10">
        <v>1</v>
      </c>
      <c r="R28" s="10">
        <v>0</v>
      </c>
      <c r="S28" s="10">
        <v>1</v>
      </c>
      <c r="T28" s="10">
        <v>0</v>
      </c>
      <c r="U28" s="10">
        <v>0</v>
      </c>
      <c r="V28" s="10">
        <v>0</v>
      </c>
      <c r="W28" s="10">
        <v>0</v>
      </c>
      <c r="X28" s="12">
        <v>1</v>
      </c>
      <c r="Y28" s="12">
        <v>0</v>
      </c>
      <c r="Z28" s="12">
        <v>1</v>
      </c>
      <c r="AA28" s="12">
        <v>0</v>
      </c>
      <c r="AB28" s="13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f t="shared" si="0"/>
        <v>4</v>
      </c>
    </row>
    <row r="29" spans="1:41" ht="30" x14ac:dyDescent="0.25">
      <c r="A29" s="9" t="s">
        <v>70</v>
      </c>
      <c r="B29" s="10">
        <v>41.95</v>
      </c>
      <c r="C29" s="10">
        <v>2.7</v>
      </c>
      <c r="D29" s="10">
        <v>0</v>
      </c>
      <c r="E29" s="10">
        <v>0</v>
      </c>
      <c r="F29" s="11">
        <v>1</v>
      </c>
      <c r="G29" s="11">
        <v>0</v>
      </c>
      <c r="H29" s="11">
        <v>0</v>
      </c>
      <c r="I29" s="11">
        <v>0</v>
      </c>
      <c r="J29" s="10">
        <v>0</v>
      </c>
      <c r="K29" s="10">
        <v>7</v>
      </c>
      <c r="L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</v>
      </c>
      <c r="R29" s="10">
        <v>0</v>
      </c>
      <c r="S29" s="10">
        <v>1</v>
      </c>
      <c r="T29" s="10">
        <v>0</v>
      </c>
      <c r="U29" s="10">
        <v>1</v>
      </c>
      <c r="V29" s="10">
        <v>1</v>
      </c>
      <c r="W29" s="10">
        <v>0</v>
      </c>
      <c r="X29" s="12">
        <v>1</v>
      </c>
      <c r="Y29" s="12">
        <v>0</v>
      </c>
      <c r="Z29" s="12">
        <v>1</v>
      </c>
      <c r="AA29" s="12">
        <v>0</v>
      </c>
      <c r="AB29" s="13">
        <v>1</v>
      </c>
      <c r="AC29" s="10">
        <v>1</v>
      </c>
      <c r="AD29" s="10">
        <v>1</v>
      </c>
      <c r="AE29" s="10">
        <v>1</v>
      </c>
      <c r="AF29" s="10">
        <v>1</v>
      </c>
      <c r="AG29" s="10">
        <v>1</v>
      </c>
      <c r="AH29" s="10">
        <v>0</v>
      </c>
      <c r="AI29" s="10">
        <v>1</v>
      </c>
      <c r="AJ29" s="10">
        <v>1</v>
      </c>
      <c r="AK29" s="10">
        <v>0</v>
      </c>
      <c r="AL29" s="10">
        <v>0</v>
      </c>
      <c r="AM29" s="10">
        <v>1</v>
      </c>
      <c r="AN29" s="10">
        <v>0</v>
      </c>
      <c r="AO29" s="10">
        <f t="shared" si="0"/>
        <v>19</v>
      </c>
    </row>
    <row r="30" spans="1:41" ht="30" x14ac:dyDescent="0.25">
      <c r="A30" s="20" t="s">
        <v>71</v>
      </c>
      <c r="B30" s="21">
        <v>52.6</v>
      </c>
      <c r="C30" s="21">
        <v>7.4</v>
      </c>
      <c r="D30" s="21">
        <v>0</v>
      </c>
      <c r="E30" s="21">
        <v>0</v>
      </c>
      <c r="F30" s="22">
        <v>1</v>
      </c>
      <c r="G30" s="22">
        <v>0</v>
      </c>
      <c r="H30" s="22">
        <v>0</v>
      </c>
      <c r="I30" s="22">
        <v>0</v>
      </c>
      <c r="J30" s="21">
        <v>1</v>
      </c>
      <c r="K30" s="21">
        <v>20</v>
      </c>
      <c r="L30" s="21">
        <v>1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3">
        <v>1</v>
      </c>
      <c r="Y30" s="23">
        <v>0</v>
      </c>
      <c r="Z30" s="23">
        <v>1</v>
      </c>
      <c r="AA30" s="23">
        <v>0</v>
      </c>
      <c r="AB30" s="24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4">
        <f t="shared" si="0"/>
        <v>2</v>
      </c>
    </row>
    <row r="31" spans="1:41" x14ac:dyDescent="0.25">
      <c r="A31" s="10" t="s">
        <v>72</v>
      </c>
      <c r="B31" s="10">
        <v>52.6</v>
      </c>
      <c r="C31" s="10">
        <v>7.4</v>
      </c>
      <c r="D31" s="10">
        <v>0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1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1</v>
      </c>
      <c r="S31" s="10">
        <v>1</v>
      </c>
      <c r="T31" s="10">
        <v>1</v>
      </c>
      <c r="U31" s="10">
        <v>1</v>
      </c>
      <c r="V31" s="10">
        <v>1</v>
      </c>
      <c r="W31" s="10">
        <v>0</v>
      </c>
      <c r="X31" s="10">
        <v>2</v>
      </c>
      <c r="Y31" s="10">
        <v>0</v>
      </c>
      <c r="Z31" s="10">
        <v>0</v>
      </c>
      <c r="AA31" s="10">
        <v>1</v>
      </c>
      <c r="AB31" s="10">
        <v>1</v>
      </c>
      <c r="AC31" s="10">
        <v>0</v>
      </c>
      <c r="AD31" s="10">
        <v>0</v>
      </c>
      <c r="AE31" s="10">
        <v>1</v>
      </c>
      <c r="AF31" s="10">
        <v>1</v>
      </c>
      <c r="AG31" s="10">
        <v>1</v>
      </c>
      <c r="AH31" s="10">
        <v>1</v>
      </c>
      <c r="AI31" s="10">
        <v>0</v>
      </c>
      <c r="AJ31" s="10">
        <v>1</v>
      </c>
      <c r="AK31" s="10">
        <v>1</v>
      </c>
      <c r="AL31" s="10">
        <v>1</v>
      </c>
      <c r="AM31" s="10">
        <v>0</v>
      </c>
      <c r="AN31" s="10">
        <v>0</v>
      </c>
      <c r="AO31" s="10">
        <f t="shared" si="0"/>
        <v>21</v>
      </c>
    </row>
    <row r="32" spans="1:41" ht="30" x14ac:dyDescent="0.25">
      <c r="A32" s="10" t="s">
        <v>73</v>
      </c>
      <c r="B32" s="10">
        <v>49.84</v>
      </c>
      <c r="C32" s="10">
        <v>1.1000000000000001</v>
      </c>
      <c r="D32" s="10">
        <v>0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0</v>
      </c>
      <c r="R32" s="10">
        <v>1</v>
      </c>
      <c r="S32" s="10">
        <v>1</v>
      </c>
      <c r="T32" s="10">
        <v>0</v>
      </c>
      <c r="U32" s="10">
        <v>1</v>
      </c>
      <c r="V32" s="10">
        <v>1</v>
      </c>
      <c r="W32" s="10">
        <v>0</v>
      </c>
      <c r="X32" s="10">
        <v>2</v>
      </c>
      <c r="Y32" s="10">
        <v>0</v>
      </c>
      <c r="Z32" s="10">
        <v>0</v>
      </c>
      <c r="AA32" s="10">
        <v>1</v>
      </c>
      <c r="AB32" s="10">
        <v>1</v>
      </c>
      <c r="AC32" s="10">
        <v>0</v>
      </c>
      <c r="AD32" s="10">
        <v>0</v>
      </c>
      <c r="AE32" s="10">
        <v>1</v>
      </c>
      <c r="AF32" s="10">
        <v>1</v>
      </c>
      <c r="AG32" s="10">
        <v>0</v>
      </c>
      <c r="AH32" s="10">
        <v>0</v>
      </c>
      <c r="AI32" s="10">
        <v>0</v>
      </c>
      <c r="AJ32" s="10">
        <v>1</v>
      </c>
      <c r="AK32" s="10">
        <v>0</v>
      </c>
      <c r="AL32" s="10">
        <v>1</v>
      </c>
      <c r="AM32" s="10">
        <v>0</v>
      </c>
      <c r="AN32" s="10">
        <v>1</v>
      </c>
      <c r="AO32" s="10">
        <f t="shared" si="0"/>
        <v>17</v>
      </c>
    </row>
    <row r="33" spans="1:41" x14ac:dyDescent="0.25">
      <c r="A33" s="10" t="s">
        <v>74</v>
      </c>
      <c r="B33" s="10">
        <v>37.299999999999997</v>
      </c>
      <c r="C33" s="10">
        <v>8.4</v>
      </c>
      <c r="D33" s="10">
        <v>0</v>
      </c>
      <c r="E33" s="10">
        <v>3</v>
      </c>
      <c r="F33" s="10">
        <v>0</v>
      </c>
      <c r="G33" s="10">
        <v>0</v>
      </c>
      <c r="H33" s="10">
        <v>0</v>
      </c>
      <c r="I33" s="10">
        <v>1</v>
      </c>
      <c r="J33" s="10">
        <v>0</v>
      </c>
      <c r="K33" s="10">
        <v>0</v>
      </c>
      <c r="L33" s="10">
        <v>1</v>
      </c>
      <c r="M33" s="10">
        <v>1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1</v>
      </c>
      <c r="W33" s="10">
        <v>0</v>
      </c>
      <c r="X33" s="10">
        <v>2</v>
      </c>
      <c r="Y33" s="10">
        <v>0</v>
      </c>
      <c r="Z33" s="10">
        <v>0</v>
      </c>
      <c r="AA33" s="10">
        <v>1</v>
      </c>
      <c r="AB33" s="10">
        <v>1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1</v>
      </c>
      <c r="AM33" s="10">
        <v>0</v>
      </c>
      <c r="AN33" s="10">
        <v>1</v>
      </c>
      <c r="AO33" s="10">
        <f t="shared" si="0"/>
        <v>8</v>
      </c>
    </row>
    <row r="34" spans="1:41" ht="30" x14ac:dyDescent="0.25">
      <c r="A34" s="10" t="s">
        <v>75</v>
      </c>
      <c r="B34" s="10">
        <v>37.799999999999997</v>
      </c>
      <c r="C34" s="10">
        <v>4.0999999999999996</v>
      </c>
      <c r="D34" s="10">
        <v>0</v>
      </c>
      <c r="E34" s="10">
        <v>1</v>
      </c>
      <c r="F34" s="10">
        <v>0</v>
      </c>
      <c r="G34" s="10">
        <v>1</v>
      </c>
      <c r="H34" s="10">
        <v>0</v>
      </c>
      <c r="I34" s="10">
        <v>0</v>
      </c>
      <c r="J34" s="10">
        <v>0</v>
      </c>
      <c r="K34" s="10">
        <v>0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0</v>
      </c>
      <c r="S34" s="10">
        <v>1</v>
      </c>
      <c r="T34" s="10">
        <v>1</v>
      </c>
      <c r="U34" s="10">
        <v>1</v>
      </c>
      <c r="V34" s="10">
        <v>1</v>
      </c>
      <c r="W34" s="10">
        <v>0</v>
      </c>
      <c r="X34" s="10">
        <v>2</v>
      </c>
      <c r="Y34" s="10">
        <v>0</v>
      </c>
      <c r="Z34" s="10">
        <v>0</v>
      </c>
      <c r="AA34" s="10">
        <v>1</v>
      </c>
      <c r="AB34" s="10">
        <v>1</v>
      </c>
      <c r="AC34" s="10">
        <v>0</v>
      </c>
      <c r="AD34" s="10">
        <v>0</v>
      </c>
      <c r="AE34" s="10">
        <v>1</v>
      </c>
      <c r="AF34" s="10">
        <v>1</v>
      </c>
      <c r="AG34" s="10">
        <v>0</v>
      </c>
      <c r="AH34" s="10">
        <v>0</v>
      </c>
      <c r="AI34" s="10">
        <v>0</v>
      </c>
      <c r="AJ34" s="10">
        <v>1</v>
      </c>
      <c r="AK34" s="10">
        <v>1</v>
      </c>
      <c r="AL34" s="10">
        <v>1</v>
      </c>
      <c r="AM34" s="10">
        <v>0</v>
      </c>
      <c r="AN34" s="10">
        <v>1</v>
      </c>
      <c r="AO34" s="10">
        <f t="shared" si="0"/>
        <v>19</v>
      </c>
    </row>
    <row r="35" spans="1:41" x14ac:dyDescent="0.25">
      <c r="A35" s="10" t="s">
        <v>76</v>
      </c>
      <c r="B35" s="10">
        <v>74.900000000000006</v>
      </c>
      <c r="C35" s="10">
        <v>5.5</v>
      </c>
      <c r="D35" s="10">
        <v>1</v>
      </c>
      <c r="E35" s="10">
        <v>1</v>
      </c>
      <c r="F35" s="10">
        <v>0</v>
      </c>
      <c r="G35" s="10">
        <v>1</v>
      </c>
      <c r="H35" s="10">
        <v>0</v>
      </c>
      <c r="I35" s="10">
        <v>0</v>
      </c>
      <c r="J35" s="10">
        <v>0</v>
      </c>
      <c r="K35" s="10">
        <v>0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0</v>
      </c>
      <c r="R35" s="10">
        <v>1</v>
      </c>
      <c r="S35" s="10">
        <v>1</v>
      </c>
      <c r="T35" s="10">
        <v>0</v>
      </c>
      <c r="U35" s="10">
        <v>1</v>
      </c>
      <c r="V35" s="10">
        <v>1</v>
      </c>
      <c r="W35" s="10">
        <v>0</v>
      </c>
      <c r="X35" s="10">
        <v>2</v>
      </c>
      <c r="Y35" s="10">
        <v>0</v>
      </c>
      <c r="Z35" s="10">
        <v>0</v>
      </c>
      <c r="AA35" s="10">
        <v>1</v>
      </c>
      <c r="AB35" s="10">
        <v>1</v>
      </c>
      <c r="AC35" s="10">
        <v>0</v>
      </c>
      <c r="AD35" s="10">
        <v>0</v>
      </c>
      <c r="AE35" s="10">
        <v>1</v>
      </c>
      <c r="AF35" s="10">
        <v>1</v>
      </c>
      <c r="AG35" s="10">
        <v>1</v>
      </c>
      <c r="AH35" s="10">
        <v>1</v>
      </c>
      <c r="AI35" s="10">
        <v>0</v>
      </c>
      <c r="AJ35" s="10">
        <v>1</v>
      </c>
      <c r="AK35" s="10">
        <v>0</v>
      </c>
      <c r="AL35" s="10">
        <v>1</v>
      </c>
      <c r="AM35" s="10">
        <v>0</v>
      </c>
      <c r="AN35" s="10">
        <v>1</v>
      </c>
      <c r="AO35" s="10">
        <f t="shared" si="0"/>
        <v>19</v>
      </c>
    </row>
    <row r="36" spans="1:41" ht="30" x14ac:dyDescent="0.25">
      <c r="A36" s="10" t="s">
        <v>77</v>
      </c>
      <c r="B36" s="10">
        <v>71.3</v>
      </c>
      <c r="C36" s="10">
        <v>1.8</v>
      </c>
      <c r="D36" s="10">
        <v>1</v>
      </c>
      <c r="E36" s="10">
        <v>1</v>
      </c>
      <c r="F36" s="10">
        <v>0</v>
      </c>
      <c r="G36" s="10">
        <v>1</v>
      </c>
      <c r="H36" s="10">
        <v>0</v>
      </c>
      <c r="I36" s="10">
        <v>0</v>
      </c>
      <c r="J36" s="10">
        <v>0</v>
      </c>
      <c r="K36" s="10">
        <v>0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0</v>
      </c>
      <c r="R36" s="10">
        <v>1</v>
      </c>
      <c r="S36" s="10">
        <v>1</v>
      </c>
      <c r="T36" s="10">
        <v>0</v>
      </c>
      <c r="U36" s="10">
        <v>1</v>
      </c>
      <c r="V36" s="10">
        <v>1</v>
      </c>
      <c r="W36" s="10">
        <v>0</v>
      </c>
      <c r="X36" s="10">
        <v>2</v>
      </c>
      <c r="Y36" s="10">
        <v>0</v>
      </c>
      <c r="Z36" s="10">
        <v>0</v>
      </c>
      <c r="AA36" s="10">
        <v>1</v>
      </c>
      <c r="AB36" s="10">
        <v>1</v>
      </c>
      <c r="AC36" s="10">
        <v>0</v>
      </c>
      <c r="AD36" s="10">
        <v>0</v>
      </c>
      <c r="AE36" s="10">
        <v>1</v>
      </c>
      <c r="AF36" s="10">
        <v>1</v>
      </c>
      <c r="AG36" s="10">
        <v>1</v>
      </c>
      <c r="AH36" s="10">
        <v>1</v>
      </c>
      <c r="AI36" s="10">
        <v>0</v>
      </c>
      <c r="AJ36" s="10">
        <v>1</v>
      </c>
      <c r="AK36" s="10">
        <v>1</v>
      </c>
      <c r="AL36" s="10">
        <v>1</v>
      </c>
      <c r="AM36" s="10">
        <v>0</v>
      </c>
      <c r="AN36" s="10">
        <v>1</v>
      </c>
      <c r="AO36" s="10">
        <f t="shared" si="0"/>
        <v>20</v>
      </c>
    </row>
  </sheetData>
  <conditionalFormatting sqref="T24:T25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Stary</dc:creator>
  <cp:lastModifiedBy>Filip Stary</cp:lastModifiedBy>
  <dcterms:created xsi:type="dcterms:W3CDTF">2021-03-27T20:04:32Z</dcterms:created>
  <dcterms:modified xsi:type="dcterms:W3CDTF">2021-03-27T20:04:54Z</dcterms:modified>
</cp:coreProperties>
</file>